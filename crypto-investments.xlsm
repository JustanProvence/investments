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ustan\Documents\dirs\Desktop\Investing\dev\investments\"/>
    </mc:Choice>
  </mc:AlternateContent>
  <xr:revisionPtr revIDLastSave="0" documentId="13_ncr:1_{D5689DC3-72B8-4650-8576-FF8437F1C861}" xr6:coauthVersionLast="45" xr6:coauthVersionMax="45" xr10:uidLastSave="{00000000-0000-0000-0000-000000000000}"/>
  <bookViews>
    <workbookView xWindow="3345" yWindow="1065" windowWidth="25785" windowHeight="11280" activeTab="2" xr2:uid="{FF6A11E4-CC3F-4457-9F32-E50AA32E7A63}"/>
  </bookViews>
  <sheets>
    <sheet name="Data" sheetId="37" r:id="rId1"/>
    <sheet name="Coins" sheetId="36" r:id="rId2"/>
    <sheet name="My Coins" sheetId="11" r:id="rId3"/>
    <sheet name="CoinHistory" sheetId="21" r:id="rId4"/>
    <sheet name="theta-token" sheetId="17" r:id="rId5"/>
  </sheets>
  <functionGroups builtInGroupCount="19"/>
  <definedNames>
    <definedName name="baseURL">Data!$B$2</definedName>
    <definedName name="BTC">#REF!</definedName>
    <definedName name="CurrentDate">'My Coins'!$C$1</definedName>
    <definedName name="CurrentPrice">#REF!</definedName>
    <definedName name="CurrentTokenPrice">'theta-token'!$J$4</definedName>
    <definedName name="ETH">#REF!</definedName>
    <definedName name="ETHE">#REF!</definedName>
    <definedName name="ETHPrice">#REF!</definedName>
    <definedName name="GBTC">#REF!</definedName>
    <definedName name="GBTCPrice">#REF!</definedName>
    <definedName name="WorthNowTotal">'My Coins'!#REF!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" i="21" l="1"/>
  <c r="D2" i="11"/>
  <c r="J1" i="17" l="1"/>
  <c r="J5" i="17" s="1"/>
  <c r="J3" i="17"/>
  <c r="J7" i="17" s="1"/>
  <c r="G2" i="17"/>
  <c r="J2" i="17" l="1"/>
  <c r="J6" i="17" s="1"/>
  <c r="J8" i="17" s="1"/>
  <c r="K2" i="11" l="1"/>
  <c r="J2" i="11"/>
  <c r="F2" i="11"/>
  <c r="H2" i="11" s="1"/>
  <c r="I2" i="11" l="1"/>
</calcChain>
</file>

<file path=xl/sharedStrings.xml><?xml version="1.0" encoding="utf-8"?>
<sst xmlns="http://schemas.openxmlformats.org/spreadsheetml/2006/main" count="33" uniqueCount="33">
  <si>
    <t>target</t>
  </si>
  <si>
    <t>Estimate</t>
  </si>
  <si>
    <t>Coins Needed</t>
  </si>
  <si>
    <t>Coins I have</t>
  </si>
  <si>
    <t>Coins Remaining</t>
  </si>
  <si>
    <t>Worth Now</t>
  </si>
  <si>
    <t>Total</t>
  </si>
  <si>
    <t>Est Worth</t>
  </si>
  <si>
    <t>% of need</t>
  </si>
  <si>
    <t>bitcoin</t>
  </si>
  <si>
    <t>Price</t>
  </si>
  <si>
    <t>Date</t>
  </si>
  <si>
    <t>Coin Cost</t>
  </si>
  <si>
    <t>Total Cost</t>
  </si>
  <si>
    <t>Current Price</t>
  </si>
  <si>
    <t>Total Cost Basis</t>
  </si>
  <si>
    <t>Total Value</t>
  </si>
  <si>
    <t>Percent Increase</t>
  </si>
  <si>
    <t>Avg Cost Basis</t>
  </si>
  <si>
    <t>Increase Value</t>
  </si>
  <si>
    <t>Increase Value Cost Basis</t>
  </si>
  <si>
    <t>Total Tokens/Coins</t>
  </si>
  <si>
    <t xml:space="preserve">From </t>
  </si>
  <si>
    <t>From Amount</t>
  </si>
  <si>
    <t>eth</t>
  </si>
  <si>
    <t>ID</t>
  </si>
  <si>
    <t>x</t>
  </si>
  <si>
    <t>Date Time</t>
  </si>
  <si>
    <t>Max</t>
  </si>
  <si>
    <t>Property</t>
  </si>
  <si>
    <t>Value</t>
  </si>
  <si>
    <t>https://api.coingecko.com/api/v3</t>
  </si>
  <si>
    <t>baseURL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</si>
</sst>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7" formatCode="&quot;$&quot;#,##0.00_);\(&quot;$&quot;#,##0.00\)"/>
    <numFmt numFmtId="164" formatCode="&quot;$&quot;#,##0.00"/>
    <numFmt numFmtId="165" formatCode="&quot;$&quot;#,##0.00000000"/>
    <numFmt numFmtId="166" formatCode="0.0000000000"/>
    <numFmt numFmtId="167" formatCode="0.00000000"/>
    <numFmt numFmtId="168" formatCode="#,##0.0"/>
    <numFmt numFmtId="169" formatCode="#,##0.00000000000"/>
  </numFmts>
  <fonts count="7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37">
    <xf numFmtId="0" fontId="0" fillId="0" borderId="0" xfId="0"/>
    <xf numFmtId="164" fontId="0" fillId="0" borderId="0" xfId="0" applyNumberFormat="1"/>
    <xf numFmtId="0" fontId="1" fillId="2" borderId="1" xfId="0" applyFont="1" applyFill="1" applyBorder="1" applyAlignment="1">
      <alignment horizontal="center" vertical="center"/>
    </xf>
    <xf numFmtId="14" fontId="0" fillId="0" borderId="0" xfId="0" applyNumberFormat="1"/>
    <xf numFmtId="0" fontId="0" fillId="0" borderId="0" xfId="0" applyBorder="1"/>
    <xf numFmtId="14" fontId="0" fillId="0" borderId="0" xfId="0" applyNumberFormat="1" applyBorder="1"/>
    <xf numFmtId="0" fontId="0" fillId="0" borderId="0" xfId="0" applyFill="1" applyBorder="1"/>
    <xf numFmtId="0" fontId="2" fillId="0" borderId="1" xfId="0" applyFont="1" applyFill="1" applyBorder="1"/>
    <xf numFmtId="0" fontId="0" fillId="0" borderId="1" xfId="0" applyFill="1" applyBorder="1"/>
    <xf numFmtId="164" fontId="0" fillId="0" borderId="1" xfId="0" applyNumberFormat="1" applyFill="1" applyBorder="1"/>
    <xf numFmtId="165" fontId="0" fillId="0" borderId="1" xfId="0" applyNumberFormat="1" applyFill="1" applyBorder="1"/>
    <xf numFmtId="10" fontId="0" fillId="0" borderId="1" xfId="0" applyNumberFormat="1" applyFill="1" applyBorder="1"/>
    <xf numFmtId="165" fontId="0" fillId="0" borderId="0" xfId="0" applyNumberFormat="1" applyBorder="1"/>
    <xf numFmtId="164" fontId="0" fillId="0" borderId="0" xfId="0" applyNumberFormat="1" applyFill="1" applyBorder="1"/>
    <xf numFmtId="167" fontId="0" fillId="0" borderId="0" xfId="0" applyNumberFormat="1" applyBorder="1"/>
    <xf numFmtId="14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right"/>
    </xf>
    <xf numFmtId="166" fontId="0" fillId="0" borderId="0" xfId="0" applyNumberFormat="1" applyAlignment="1">
      <alignment horizontal="right"/>
    </xf>
    <xf numFmtId="164" fontId="0" fillId="4" borderId="1" xfId="0" applyNumberFormat="1" applyFill="1" applyBorder="1" applyAlignment="1">
      <alignment horizontal="right"/>
    </xf>
    <xf numFmtId="164" fontId="0" fillId="4" borderId="2" xfId="0" applyNumberFormat="1" applyFill="1" applyBorder="1" applyAlignment="1">
      <alignment horizontal="right"/>
    </xf>
    <xf numFmtId="10" fontId="0" fillId="4" borderId="1" xfId="0" applyNumberFormat="1" applyFill="1" applyBorder="1" applyAlignment="1">
      <alignment horizontal="right"/>
    </xf>
    <xf numFmtId="16" fontId="1" fillId="2" borderId="1" xfId="0" applyNumberFormat="1" applyFont="1" applyFill="1" applyBorder="1" applyAlignment="1">
      <alignment horizontal="center" vertical="center"/>
    </xf>
    <xf numFmtId="0" fontId="5" fillId="5" borderId="1" xfId="0" applyFont="1" applyFill="1" applyBorder="1"/>
    <xf numFmtId="164" fontId="0" fillId="5" borderId="1" xfId="0" applyNumberFormat="1" applyFill="1" applyBorder="1" applyAlignment="1">
      <alignment horizontal="right"/>
    </xf>
    <xf numFmtId="166" fontId="0" fillId="4" borderId="1" xfId="0" applyNumberFormat="1" applyFill="1" applyBorder="1" applyAlignment="1">
      <alignment horizontal="right"/>
    </xf>
    <xf numFmtId="166" fontId="0" fillId="3" borderId="1" xfId="0" applyNumberFormat="1" applyFill="1" applyBorder="1" applyAlignment="1">
      <alignment horizontal="right"/>
    </xf>
    <xf numFmtId="168" fontId="0" fillId="4" borderId="1" xfId="0" applyNumberFormat="1" applyFill="1" applyBorder="1" applyAlignment="1">
      <alignment horizontal="right"/>
    </xf>
    <xf numFmtId="7" fontId="0" fillId="0" borderId="0" xfId="0" applyNumberFormat="1"/>
    <xf numFmtId="22" fontId="0" fillId="0" borderId="0" xfId="0" applyNumberFormat="1"/>
    <xf numFmtId="164" fontId="0" fillId="0" borderId="0" xfId="0" applyNumberFormat="1" applyAlignment="1">
      <alignment horizontal="right"/>
    </xf>
    <xf numFmtId="169" fontId="0" fillId="0" borderId="0" xfId="0" applyNumberFormat="1" applyAlignment="1">
      <alignment horizontal="right"/>
    </xf>
    <xf numFmtId="0" fontId="2" fillId="2" borderId="0" xfId="0" applyFont="1" applyFill="1" applyBorder="1"/>
    <xf numFmtId="0" fontId="2" fillId="2" borderId="0" xfId="0" applyFont="1" applyFill="1" applyBorder="1" applyAlignment="1">
      <alignment horizontal="left"/>
    </xf>
    <xf numFmtId="167" fontId="2" fillId="2" borderId="0" xfId="0" applyNumberFormat="1" applyFont="1" applyFill="1" applyBorder="1"/>
    <xf numFmtId="165" fontId="2" fillId="2" borderId="0" xfId="0" applyNumberFormat="1" applyFont="1" applyFill="1" applyBorder="1"/>
    <xf numFmtId="164" fontId="2" fillId="2" borderId="0" xfId="0" applyNumberFormat="1" applyFont="1" applyFill="1" applyBorder="1"/>
  </cellXfs>
  <cellStyles count="3">
    <cellStyle name="Hyperlink 2" xfId="2" xr:uid="{18BBE2BF-58DE-4BEC-91B8-C8616A94D554}"/>
    <cellStyle name="Normal" xfId="0" builtinId="0"/>
    <cellStyle name="Normal 2" xfId="1" xr:uid="{B91DD103-BE4D-4BF6-9BEF-5B28047EDE66}"/>
  </cellStyles>
  <dxfs count="2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361949</xdr:colOff>
          <xdr:row>4</xdr:row>
          <xdr:rowOff>47625</xdr:rowOff>
        </xdr:from>
        <xdr:to>
          <xdr:col>14</xdr:col>
          <xdr:colOff>180975</xdr:colOff>
          <xdr:row>6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Current Price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342900</xdr:colOff>
          <xdr:row>7</xdr:row>
          <xdr:rowOff>152400</xdr:rowOff>
        </xdr:from>
        <xdr:to>
          <xdr:col>14</xdr:col>
          <xdr:colOff>104775</xdr:colOff>
          <xdr:row>10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FA0CA7EF-9BA4-4BC3-B714-5C40BDD1E3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 Coin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2</xdr:row>
          <xdr:rowOff>180975</xdr:rowOff>
        </xdr:from>
        <xdr:to>
          <xdr:col>12</xdr:col>
          <xdr:colOff>104775</xdr:colOff>
          <xdr:row>4</xdr:row>
          <xdr:rowOff>19050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Current Price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A0E4DD2-F99B-47B8-8E49-2F4600990382}">
  <we:reference id="wa104381695" version="1.0.10.0" store="en-001" storeType="OMEX"/>
  <we:alternateReferences>
    <we:reference id="wa104381695" version="1.0.10.0" store="en-001" storeType="OMEX"/>
  </we:alternateReferences>
  <we:properties/>
  <we:bindings/>
  <we:snapshot xmlns:r="http://schemas.openxmlformats.org/officeDocument/2006/relationships"/>
</we:webextension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624DC-DA1F-43AA-A480-19DCAE11F7C9}">
  <sheetPr codeName="Sheet3"/>
  <dimension ref="A1:B2"/>
  <sheetViews>
    <sheetView workbookViewId="0">
      <selection activeCell="B5" sqref="B5"/>
    </sheetView>
  </sheetViews>
  <sheetFormatPr defaultRowHeight="15" x14ac:dyDescent="0.25"/>
  <cols>
    <col min="1" max="1" width="16.28515625" customWidth="1"/>
    <col min="2" max="2" width="45" customWidth="1"/>
  </cols>
  <sheetData>
    <row r="1" spans="1:2" x14ac:dyDescent="0.25">
      <c r="A1" t="s">
        <v>29</v>
      </c>
      <c r="B1" t="s">
        <v>30</v>
      </c>
    </row>
    <row r="2" spans="1:2" x14ac:dyDescent="0.25">
      <c r="A2" t="s">
        <v>32</v>
      </c>
      <c r="B2" t="s">
        <v>31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7EDA1-228C-4A99-B72A-0CD7E743720A}">
  <sheetPr codeName="Sheet1"/>
  <dimension ref="A1"/>
  <sheetViews>
    <sheetView workbookViewId="0"/>
  </sheetViews>
  <sheetFormatPr defaultRowHeight="15" x14ac:dyDescent="0.25"/>
  <cols>
    <col min="1" max="1" width="10.28515625" customWidth="1"/>
    <col min="2" max="2" width="10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E2B52-74DE-4517-93FE-F69341DCAE54}">
  <sheetPr codeName="Sheet2"/>
  <dimension ref="A1:L29"/>
  <sheetViews>
    <sheetView tabSelected="1" workbookViewId="0">
      <selection activeCell="H15" sqref="H15"/>
    </sheetView>
  </sheetViews>
  <sheetFormatPr defaultRowHeight="15" x14ac:dyDescent="0.25"/>
  <cols>
    <col min="1" max="1" width="9.140625" customWidth="1"/>
    <col min="2" max="2" width="12.28515625" customWidth="1"/>
    <col min="3" max="3" width="12.85546875" style="17" customWidth="1"/>
    <col min="4" max="4" width="7.140625" style="17" customWidth="1"/>
    <col min="5" max="5" width="12.5703125" style="17" customWidth="1"/>
    <col min="6" max="6" width="14" style="17" customWidth="1"/>
    <col min="7" max="7" width="18.140625" style="17" bestFit="1" customWidth="1"/>
    <col min="8" max="8" width="20.5703125" style="17" customWidth="1"/>
    <col min="9" max="9" width="17.42578125" style="17" customWidth="1"/>
    <col min="10" max="10" width="10.85546875" style="17" customWidth="1"/>
    <col min="11" max="11" width="13.28515625" style="17" customWidth="1"/>
    <col min="12" max="12" width="10.140625" style="17" customWidth="1"/>
  </cols>
  <sheetData>
    <row r="1" spans="1:11" x14ac:dyDescent="0.25">
      <c r="A1" s="2" t="s">
        <v>25</v>
      </c>
      <c r="B1" s="2" t="s">
        <v>1</v>
      </c>
      <c r="C1" s="22">
        <v>44330</v>
      </c>
      <c r="D1" s="22" t="s">
        <v>26</v>
      </c>
      <c r="E1" s="2" t="s">
        <v>0</v>
      </c>
      <c r="F1" s="2" t="s">
        <v>2</v>
      </c>
      <c r="G1" s="2" t="s">
        <v>3</v>
      </c>
      <c r="H1" s="2" t="s">
        <v>4</v>
      </c>
      <c r="I1" s="2" t="s">
        <v>8</v>
      </c>
      <c r="J1" s="2" t="s">
        <v>7</v>
      </c>
      <c r="K1" s="2" t="s">
        <v>5</v>
      </c>
    </row>
    <row r="2" spans="1:11" x14ac:dyDescent="0.25">
      <c r="A2" s="23" t="s">
        <v>9</v>
      </c>
      <c r="B2" s="24">
        <v>500000</v>
      </c>
      <c r="C2" s="19">
        <v>51072</v>
      </c>
      <c r="D2" s="27">
        <f xml:space="preserve"> B2/C2</f>
        <v>9.7901002506265673</v>
      </c>
      <c r="E2" s="24">
        <v>250000</v>
      </c>
      <c r="F2" s="25">
        <f xml:space="preserve"> E2 / B2</f>
        <v>0.5</v>
      </c>
      <c r="G2" s="26">
        <v>0.01</v>
      </c>
      <c r="H2" s="25">
        <f t="shared" ref="H2" si="0" xml:space="preserve"> F2 - G2</f>
        <v>0.49</v>
      </c>
      <c r="I2" s="21">
        <f t="shared" ref="I2" si="1" xml:space="preserve"> G2/F2</f>
        <v>0.02</v>
      </c>
      <c r="J2" s="19">
        <f xml:space="preserve"> B2 * G2</f>
        <v>5000</v>
      </c>
      <c r="K2" s="20">
        <f xml:space="preserve"> G2 *C2</f>
        <v>510.72</v>
      </c>
    </row>
    <row r="5" spans="1:11" x14ac:dyDescent="0.25">
      <c r="H5" s="18"/>
      <c r="J5" s="18"/>
    </row>
    <row r="11" spans="1:11" x14ac:dyDescent="0.25">
      <c r="F11" s="31"/>
      <c r="G11" s="30"/>
    </row>
    <row r="12" spans="1:11" x14ac:dyDescent="0.25">
      <c r="F12"/>
      <c r="G12"/>
      <c r="H12"/>
    </row>
    <row r="13" spans="1:11" x14ac:dyDescent="0.25">
      <c r="F13"/>
      <c r="G13"/>
      <c r="H13"/>
    </row>
    <row r="14" spans="1:11" x14ac:dyDescent="0.25">
      <c r="F14"/>
      <c r="G14"/>
      <c r="H14"/>
    </row>
    <row r="15" spans="1:11" x14ac:dyDescent="0.25">
      <c r="F15"/>
      <c r="G15"/>
      <c r="H15"/>
    </row>
    <row r="16" spans="1:11" x14ac:dyDescent="0.25">
      <c r="F16"/>
      <c r="G16"/>
      <c r="H16"/>
    </row>
    <row r="17" spans="6:8" x14ac:dyDescent="0.25">
      <c r="F17"/>
      <c r="G17"/>
      <c r="H17"/>
    </row>
    <row r="18" spans="6:8" x14ac:dyDescent="0.25">
      <c r="F18"/>
      <c r="G18"/>
      <c r="H18"/>
    </row>
    <row r="19" spans="6:8" x14ac:dyDescent="0.25">
      <c r="F19"/>
      <c r="G19"/>
      <c r="H19"/>
    </row>
    <row r="20" spans="6:8" x14ac:dyDescent="0.25">
      <c r="F20"/>
      <c r="G20"/>
      <c r="H20"/>
    </row>
    <row r="21" spans="6:8" x14ac:dyDescent="0.25">
      <c r="F21"/>
      <c r="G21"/>
      <c r="H21"/>
    </row>
    <row r="22" spans="6:8" x14ac:dyDescent="0.25">
      <c r="F22"/>
      <c r="G22"/>
      <c r="H22"/>
    </row>
    <row r="23" spans="6:8" x14ac:dyDescent="0.25">
      <c r="F23"/>
      <c r="G23"/>
      <c r="H23"/>
    </row>
    <row r="24" spans="6:8" x14ac:dyDescent="0.25">
      <c r="F24"/>
      <c r="G24"/>
      <c r="H24"/>
    </row>
    <row r="25" spans="6:8" x14ac:dyDescent="0.25">
      <c r="F25"/>
      <c r="G25"/>
      <c r="H25"/>
    </row>
    <row r="26" spans="6:8" x14ac:dyDescent="0.25">
      <c r="F26"/>
      <c r="G26"/>
      <c r="H26"/>
    </row>
    <row r="27" spans="6:8" x14ac:dyDescent="0.25">
      <c r="F27"/>
      <c r="G27"/>
      <c r="H27"/>
    </row>
    <row r="28" spans="6:8" x14ac:dyDescent="0.25">
      <c r="F28"/>
      <c r="G28"/>
      <c r="H28"/>
    </row>
    <row r="29" spans="6:8" x14ac:dyDescent="0.25">
      <c r="F29"/>
      <c r="G29"/>
      <c r="H29"/>
    </row>
  </sheetData>
  <conditionalFormatting sqref="I2">
    <cfRule type="cellIs" dxfId="1" priority="1" operator="lessThan">
      <formula>0.5</formula>
    </cfRule>
    <cfRule type="cellIs" dxfId="0" priority="2" operator="lessThan">
      <formula>0.5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2.GetCryptoPrices">
                <anchor moveWithCells="1">
                  <from>
                    <xdr:col>11</xdr:col>
                    <xdr:colOff>361950</xdr:colOff>
                    <xdr:row>4</xdr:row>
                    <xdr:rowOff>47625</xdr:rowOff>
                  </from>
                  <to>
                    <xdr:col>14</xdr:col>
                    <xdr:colOff>180975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owAssetSelection">
                <anchor moveWithCells="1" sizeWithCells="1">
                  <from>
                    <xdr:col>11</xdr:col>
                    <xdr:colOff>342900</xdr:colOff>
                    <xdr:row>7</xdr:row>
                    <xdr:rowOff>152400</xdr:rowOff>
                  </from>
                  <to>
                    <xdr:col>14</xdr:col>
                    <xdr:colOff>104775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3686A-CCFE-41FF-93BF-CC4C25124C15}">
  <sheetPr codeName="Sheet6"/>
  <dimension ref="A1:E249"/>
  <sheetViews>
    <sheetView workbookViewId="0">
      <selection activeCell="D11" sqref="D11"/>
    </sheetView>
  </sheetViews>
  <sheetFormatPr defaultRowHeight="15" x14ac:dyDescent="0.25"/>
  <cols>
    <col min="1" max="1" width="17.85546875" customWidth="1"/>
    <col min="2" max="2" width="14" customWidth="1"/>
    <col min="3" max="3" width="12.42578125" customWidth="1"/>
    <col min="5" max="5" width="11.140625" bestFit="1" customWidth="1"/>
    <col min="12" max="12" width="13.140625" bestFit="1" customWidth="1"/>
    <col min="13" max="13" width="12" bestFit="1" customWidth="1"/>
  </cols>
  <sheetData>
    <row r="1" spans="1:5" x14ac:dyDescent="0.25">
      <c r="A1" t="s">
        <v>27</v>
      </c>
      <c r="B1" t="s">
        <v>10</v>
      </c>
    </row>
    <row r="2" spans="1:5" x14ac:dyDescent="0.25">
      <c r="A2" s="29">
        <v>44239.583449074074</v>
      </c>
      <c r="B2" s="28">
        <v>195000.22</v>
      </c>
      <c r="C2" s="28"/>
      <c r="E2" t="s">
        <v>28</v>
      </c>
    </row>
    <row r="3" spans="1:5" x14ac:dyDescent="0.25">
      <c r="A3" s="29">
        <v>44240.620810185188</v>
      </c>
      <c r="B3" s="28">
        <v>192539.22</v>
      </c>
      <c r="C3" s="28"/>
      <c r="E3" s="1">
        <f xml:space="preserve"> MAX(B:B)</f>
        <v>452136.8</v>
      </c>
    </row>
    <row r="4" spans="1:5" x14ac:dyDescent="0.25">
      <c r="A4" s="29">
        <v>44240.620833333334</v>
      </c>
      <c r="B4" s="28">
        <v>192539.22</v>
      </c>
      <c r="C4" s="28"/>
    </row>
    <row r="5" spans="1:5" x14ac:dyDescent="0.25">
      <c r="A5" s="29">
        <v>44240.76121527778</v>
      </c>
      <c r="B5" s="28">
        <v>197084.79999999999</v>
      </c>
      <c r="C5" s="28"/>
      <c r="D5" s="3"/>
    </row>
    <row r="6" spans="1:5" x14ac:dyDescent="0.25">
      <c r="A6" s="29">
        <v>44240.779386574075</v>
      </c>
      <c r="B6" s="28">
        <v>199115.89</v>
      </c>
      <c r="C6" s="28"/>
    </row>
    <row r="7" spans="1:5" x14ac:dyDescent="0.25">
      <c r="A7" s="29">
        <v>44240.786099537036</v>
      </c>
      <c r="B7" s="28">
        <v>198802.81</v>
      </c>
      <c r="C7" s="28"/>
    </row>
    <row r="8" spans="1:5" x14ac:dyDescent="0.25">
      <c r="A8" s="29">
        <v>44241.672962962963</v>
      </c>
      <c r="B8" s="28">
        <v>198391.26</v>
      </c>
      <c r="C8" s="28"/>
    </row>
    <row r="9" spans="1:5" x14ac:dyDescent="0.25">
      <c r="A9" s="29">
        <v>44242.857002314813</v>
      </c>
      <c r="B9" s="28">
        <v>200952.25</v>
      </c>
      <c r="C9" s="28"/>
    </row>
    <row r="10" spans="1:5" x14ac:dyDescent="0.25">
      <c r="A10" s="29">
        <v>44243.711782407408</v>
      </c>
      <c r="B10" s="28">
        <v>197989.41</v>
      </c>
      <c r="C10" s="28"/>
    </row>
    <row r="11" spans="1:5" x14ac:dyDescent="0.25">
      <c r="A11" s="29">
        <v>44244.692523148151</v>
      </c>
      <c r="B11" s="28">
        <v>207344.53</v>
      </c>
      <c r="C11" s="28"/>
    </row>
    <row r="12" spans="1:5" x14ac:dyDescent="0.25">
      <c r="A12" s="29">
        <v>44245.752916666665</v>
      </c>
      <c r="B12" s="28">
        <v>208173.33</v>
      </c>
      <c r="C12" s="28"/>
    </row>
    <row r="13" spans="1:5" x14ac:dyDescent="0.25">
      <c r="A13" s="29">
        <v>44246.470011574071</v>
      </c>
      <c r="B13" s="28">
        <v>215628.89</v>
      </c>
      <c r="C13" s="28"/>
    </row>
    <row r="14" spans="1:5" x14ac:dyDescent="0.25">
      <c r="A14" s="29">
        <v>44247.452800925923</v>
      </c>
      <c r="B14" s="28">
        <v>230748.79</v>
      </c>
      <c r="C14" s="28"/>
    </row>
    <row r="15" spans="1:5" x14ac:dyDescent="0.25">
      <c r="A15" s="29">
        <v>44247.810428240744</v>
      </c>
      <c r="B15" s="28">
        <v>226382.23</v>
      </c>
      <c r="C15" s="28"/>
    </row>
    <row r="16" spans="1:5" x14ac:dyDescent="0.25">
      <c r="A16" s="29">
        <v>44248.710925925923</v>
      </c>
      <c r="B16" s="28">
        <v>223506.56</v>
      </c>
      <c r="C16" s="28"/>
    </row>
    <row r="17" spans="1:3" x14ac:dyDescent="0.25">
      <c r="A17" s="29">
        <v>44249.302453703705</v>
      </c>
      <c r="B17" s="28">
        <v>206131.49</v>
      </c>
      <c r="C17" s="28"/>
    </row>
    <row r="18" spans="1:3" x14ac:dyDescent="0.25">
      <c r="A18" s="29">
        <v>44249.602025462962</v>
      </c>
      <c r="B18" s="28">
        <v>210591.38</v>
      </c>
      <c r="C18" s="28"/>
    </row>
    <row r="19" spans="1:3" x14ac:dyDescent="0.25">
      <c r="A19" s="29">
        <v>44250.3200462963</v>
      </c>
      <c r="B19" s="28">
        <v>187461.18</v>
      </c>
      <c r="C19" s="28"/>
    </row>
    <row r="20" spans="1:3" x14ac:dyDescent="0.25">
      <c r="A20" s="29">
        <v>44251.75990740741</v>
      </c>
      <c r="B20" s="28">
        <v>198531.37</v>
      </c>
      <c r="C20" s="28"/>
    </row>
    <row r="21" spans="1:3" x14ac:dyDescent="0.25">
      <c r="A21" s="29">
        <v>44254.459826388891</v>
      </c>
      <c r="B21" s="28">
        <v>197463.67</v>
      </c>
      <c r="C21" s="28"/>
    </row>
    <row r="22" spans="1:3" x14ac:dyDescent="0.25">
      <c r="A22" s="29">
        <v>44256.893622685187</v>
      </c>
      <c r="B22" s="28">
        <v>201582.06</v>
      </c>
      <c r="C22" s="28"/>
    </row>
    <row r="23" spans="1:3" x14ac:dyDescent="0.25">
      <c r="A23" s="29">
        <v>44258.30228009259</v>
      </c>
      <c r="B23" s="28">
        <v>217305.97</v>
      </c>
      <c r="C23" s="28"/>
    </row>
    <row r="24" spans="1:3" x14ac:dyDescent="0.25">
      <c r="A24" s="29">
        <v>44258.302523148152</v>
      </c>
      <c r="B24" s="28">
        <v>217305.97</v>
      </c>
      <c r="C24" s="28"/>
    </row>
    <row r="25" spans="1:3" x14ac:dyDescent="0.25">
      <c r="A25" s="29">
        <v>44258.776446759257</v>
      </c>
      <c r="B25" s="28">
        <v>218221.62</v>
      </c>
      <c r="C25" s="28"/>
    </row>
    <row r="26" spans="1:3" x14ac:dyDescent="0.25">
      <c r="A26" s="29">
        <v>44259.699652777781</v>
      </c>
      <c r="B26" s="28">
        <v>212583.31</v>
      </c>
      <c r="C26" s="28"/>
    </row>
    <row r="27" spans="1:3" x14ac:dyDescent="0.25">
      <c r="A27" s="29">
        <v>44260.71471064815</v>
      </c>
      <c r="B27" s="28">
        <v>211093.56</v>
      </c>
      <c r="C27" s="28"/>
    </row>
    <row r="28" spans="1:3" x14ac:dyDescent="0.25">
      <c r="A28" s="29">
        <v>44260.84065972222</v>
      </c>
      <c r="B28" s="28">
        <v>209670.61</v>
      </c>
      <c r="C28" s="28"/>
    </row>
    <row r="29" spans="1:3" x14ac:dyDescent="0.25">
      <c r="A29" s="29">
        <v>44261.360856481479</v>
      </c>
      <c r="B29" s="28">
        <v>203239.35</v>
      </c>
      <c r="C29" s="28"/>
    </row>
    <row r="30" spans="1:3" x14ac:dyDescent="0.25">
      <c r="A30" s="29">
        <v>44261.400023148148</v>
      </c>
      <c r="B30" s="28">
        <v>204038.78</v>
      </c>
      <c r="C30" s="28"/>
    </row>
    <row r="31" spans="1:3" x14ac:dyDescent="0.25">
      <c r="A31" s="29">
        <v>44261.664178240739</v>
      </c>
      <c r="B31" s="28">
        <v>210368.56</v>
      </c>
      <c r="C31" s="28"/>
    </row>
    <row r="32" spans="1:3" x14ac:dyDescent="0.25">
      <c r="A32" s="29">
        <v>44262.353472222225</v>
      </c>
      <c r="B32" s="28">
        <v>216170.37</v>
      </c>
      <c r="C32" s="28"/>
    </row>
    <row r="33" spans="1:3" x14ac:dyDescent="0.25">
      <c r="A33" s="29">
        <v>44262.435219907406</v>
      </c>
      <c r="B33" s="28">
        <v>218352.47</v>
      </c>
      <c r="C33" s="28"/>
    </row>
    <row r="34" spans="1:3" x14ac:dyDescent="0.25">
      <c r="A34" s="29">
        <v>44262.50371527778</v>
      </c>
      <c r="B34" s="28">
        <v>217663.64</v>
      </c>
      <c r="C34" s="28"/>
    </row>
    <row r="35" spans="1:3" x14ac:dyDescent="0.25">
      <c r="A35" s="29">
        <v>44263.339803240742</v>
      </c>
      <c r="B35" s="28">
        <v>225666.55</v>
      </c>
    </row>
    <row r="36" spans="1:3" x14ac:dyDescent="0.25">
      <c r="A36" s="29">
        <v>44263.380925925929</v>
      </c>
      <c r="B36" s="28">
        <v>225434.22</v>
      </c>
    </row>
    <row r="37" spans="1:3" x14ac:dyDescent="0.25">
      <c r="A37" s="29">
        <v>44263.755474537036</v>
      </c>
      <c r="B37" s="28">
        <v>234106.8</v>
      </c>
    </row>
    <row r="38" spans="1:3" x14ac:dyDescent="0.25">
      <c r="A38" s="29">
        <v>44263.800416666665</v>
      </c>
      <c r="B38" s="28">
        <v>234017.45</v>
      </c>
    </row>
    <row r="39" spans="1:3" x14ac:dyDescent="0.25">
      <c r="A39" s="29">
        <v>44264.303217592591</v>
      </c>
      <c r="B39" s="28">
        <v>235818</v>
      </c>
    </row>
    <row r="40" spans="1:3" x14ac:dyDescent="0.25">
      <c r="A40" s="29">
        <v>44264.787395833337</v>
      </c>
      <c r="B40" s="28">
        <v>248852.69</v>
      </c>
    </row>
    <row r="41" spans="1:3" x14ac:dyDescent="0.25">
      <c r="A41" s="29">
        <v>44265.300937499997</v>
      </c>
      <c r="B41" s="28">
        <v>251636.6</v>
      </c>
    </row>
    <row r="42" spans="1:3" x14ac:dyDescent="0.25">
      <c r="A42" s="29">
        <v>44265.318668981483</v>
      </c>
      <c r="B42" s="28">
        <v>252733.54</v>
      </c>
    </row>
    <row r="43" spans="1:3" x14ac:dyDescent="0.25">
      <c r="A43" s="29">
        <v>44265.785428240742</v>
      </c>
      <c r="B43" s="28">
        <v>264088.90000000002</v>
      </c>
    </row>
    <row r="44" spans="1:3" x14ac:dyDescent="0.25">
      <c r="A44" s="29">
        <v>44266.362349537034</v>
      </c>
      <c r="B44" s="28">
        <v>272446.65000000002</v>
      </c>
    </row>
    <row r="45" spans="1:3" x14ac:dyDescent="0.25">
      <c r="A45" s="29">
        <v>44266.363344907404</v>
      </c>
      <c r="B45" s="28">
        <v>284107.01</v>
      </c>
    </row>
    <row r="46" spans="1:3" x14ac:dyDescent="0.25">
      <c r="A46" s="29">
        <v>44266.736979166664</v>
      </c>
      <c r="B46" s="28">
        <v>284959.71999999997</v>
      </c>
    </row>
    <row r="47" spans="1:3" x14ac:dyDescent="0.25">
      <c r="A47" s="29">
        <v>44266.769965277781</v>
      </c>
      <c r="B47" s="28">
        <v>285108.45</v>
      </c>
    </row>
    <row r="48" spans="1:3" x14ac:dyDescent="0.25">
      <c r="A48" s="29">
        <v>44267.283321759256</v>
      </c>
      <c r="B48" s="28">
        <v>278094.2</v>
      </c>
    </row>
    <row r="49" spans="1:2" x14ac:dyDescent="0.25">
      <c r="A49" s="29">
        <v>44267.474097222221</v>
      </c>
      <c r="B49" s="28">
        <v>279347.8</v>
      </c>
    </row>
    <row r="50" spans="1:2" x14ac:dyDescent="0.25">
      <c r="A50" s="29">
        <v>44268.29042824074</v>
      </c>
      <c r="B50" s="28">
        <v>283595.65999999997</v>
      </c>
    </row>
    <row r="51" spans="1:2" x14ac:dyDescent="0.25">
      <c r="A51" s="29">
        <v>44268.292002314818</v>
      </c>
      <c r="B51" s="28">
        <v>285669.96000000002</v>
      </c>
    </row>
    <row r="52" spans="1:2" x14ac:dyDescent="0.25">
      <c r="A52" s="29">
        <v>44269.463576388887</v>
      </c>
      <c r="B52" s="28">
        <v>294512.2</v>
      </c>
    </row>
    <row r="53" spans="1:2" x14ac:dyDescent="0.25">
      <c r="A53" s="29">
        <v>44269.466770833336</v>
      </c>
      <c r="B53" s="28">
        <v>294349.88</v>
      </c>
    </row>
    <row r="54" spans="1:2" x14ac:dyDescent="0.25">
      <c r="A54" s="29">
        <v>44269.515023148146</v>
      </c>
      <c r="B54" s="28">
        <v>295356.75</v>
      </c>
    </row>
    <row r="55" spans="1:2" x14ac:dyDescent="0.25">
      <c r="A55" s="29">
        <v>44270.395543981482</v>
      </c>
      <c r="B55" s="28">
        <v>281358.89</v>
      </c>
    </row>
    <row r="56" spans="1:2" x14ac:dyDescent="0.25">
      <c r="A56" s="29">
        <v>44270.702546296299</v>
      </c>
      <c r="B56" s="28">
        <v>284595.01</v>
      </c>
    </row>
    <row r="57" spans="1:2" x14ac:dyDescent="0.25">
      <c r="A57" s="29">
        <v>44270.760277777779</v>
      </c>
      <c r="B57" s="28">
        <v>280789.03999999998</v>
      </c>
    </row>
    <row r="58" spans="1:2" x14ac:dyDescent="0.25">
      <c r="A58" s="29">
        <v>44271.337627314817</v>
      </c>
      <c r="B58" s="28">
        <v>283138.26</v>
      </c>
    </row>
    <row r="59" spans="1:2" x14ac:dyDescent="0.25">
      <c r="A59" s="29">
        <v>44271.713518518518</v>
      </c>
      <c r="B59" s="28">
        <v>287863.96000000002</v>
      </c>
    </row>
    <row r="60" spans="1:2" x14ac:dyDescent="0.25">
      <c r="A60" s="29">
        <v>44272.478900462964</v>
      </c>
      <c r="B60" s="28">
        <v>288300.36</v>
      </c>
    </row>
    <row r="61" spans="1:2" x14ac:dyDescent="0.25">
      <c r="A61" s="29">
        <v>44272.615659722222</v>
      </c>
      <c r="B61" s="28">
        <v>302150.25</v>
      </c>
    </row>
    <row r="62" spans="1:2" x14ac:dyDescent="0.25">
      <c r="A62" s="29">
        <v>44272.737662037034</v>
      </c>
      <c r="B62" s="28">
        <v>306706.09999999998</v>
      </c>
    </row>
    <row r="63" spans="1:2" x14ac:dyDescent="0.25">
      <c r="A63" s="29">
        <v>44273.282256944447</v>
      </c>
      <c r="B63" s="28">
        <v>306614.46999999997</v>
      </c>
    </row>
    <row r="64" spans="1:2" x14ac:dyDescent="0.25">
      <c r="A64" s="29">
        <v>44278.357812499999</v>
      </c>
      <c r="B64" s="28">
        <v>352152.13</v>
      </c>
    </row>
    <row r="65" spans="1:2" x14ac:dyDescent="0.25">
      <c r="A65" s="29">
        <v>44278.399606481478</v>
      </c>
      <c r="B65" s="28">
        <v>356367.2</v>
      </c>
    </row>
    <row r="66" spans="1:2" x14ac:dyDescent="0.25">
      <c r="A66" s="29">
        <v>44278.432939814818</v>
      </c>
      <c r="B66" s="28">
        <v>356321.5</v>
      </c>
    </row>
    <row r="67" spans="1:2" x14ac:dyDescent="0.25">
      <c r="A67" s="29">
        <v>44278.508877314816</v>
      </c>
      <c r="B67" s="28">
        <v>372364.46</v>
      </c>
    </row>
    <row r="68" spans="1:2" x14ac:dyDescent="0.25">
      <c r="A68" s="29">
        <v>44278.530173611114</v>
      </c>
      <c r="B68" s="28">
        <v>373954.34</v>
      </c>
    </row>
    <row r="69" spans="1:2" x14ac:dyDescent="0.25">
      <c r="A69" s="29">
        <v>44278.571435185186</v>
      </c>
      <c r="B69" s="28">
        <v>389800.8</v>
      </c>
    </row>
    <row r="70" spans="1:2" x14ac:dyDescent="0.25">
      <c r="A70" s="29">
        <v>44278.649317129632</v>
      </c>
      <c r="B70" s="28">
        <v>371189.11</v>
      </c>
    </row>
    <row r="71" spans="1:2" x14ac:dyDescent="0.25">
      <c r="A71" s="29">
        <v>44278.742488425924</v>
      </c>
      <c r="B71" s="28">
        <v>371953.52</v>
      </c>
    </row>
    <row r="72" spans="1:2" x14ac:dyDescent="0.25">
      <c r="A72" s="29">
        <v>44278.753009259257</v>
      </c>
      <c r="B72" s="28">
        <v>371509.8</v>
      </c>
    </row>
    <row r="73" spans="1:2" x14ac:dyDescent="0.25">
      <c r="A73" s="29">
        <v>44278.778865740744</v>
      </c>
      <c r="B73" s="28">
        <v>370735.63</v>
      </c>
    </row>
    <row r="74" spans="1:2" x14ac:dyDescent="0.25">
      <c r="A74" s="29">
        <v>44278.858136574076</v>
      </c>
      <c r="B74" s="28">
        <v>378134.08</v>
      </c>
    </row>
    <row r="75" spans="1:2" x14ac:dyDescent="0.25">
      <c r="A75" s="29">
        <v>44278.895428240743</v>
      </c>
      <c r="B75" s="28">
        <v>376341.32</v>
      </c>
    </row>
    <row r="76" spans="1:2" x14ac:dyDescent="0.25">
      <c r="A76" s="29">
        <v>44279.460532407407</v>
      </c>
      <c r="B76" s="28">
        <v>376341.32</v>
      </c>
    </row>
    <row r="77" spans="1:2" x14ac:dyDescent="0.25">
      <c r="A77" s="29">
        <v>44279.461157407408</v>
      </c>
      <c r="B77" s="28">
        <v>376341.32</v>
      </c>
    </row>
    <row r="78" spans="1:2" x14ac:dyDescent="0.25">
      <c r="A78" s="29">
        <v>44279.461944444447</v>
      </c>
      <c r="B78" s="28">
        <v>376341.32</v>
      </c>
    </row>
    <row r="79" spans="1:2" x14ac:dyDescent="0.25">
      <c r="A79" s="29">
        <v>44279.462870370371</v>
      </c>
      <c r="B79" s="28">
        <v>376341.32</v>
      </c>
    </row>
    <row r="80" spans="1:2" x14ac:dyDescent="0.25">
      <c r="A80" s="29">
        <v>44279.463090277779</v>
      </c>
      <c r="B80" s="28">
        <v>378081.89</v>
      </c>
    </row>
    <row r="81" spans="1:2" x14ac:dyDescent="0.25">
      <c r="A81" s="29">
        <v>44279.484629629631</v>
      </c>
      <c r="B81" s="28">
        <v>372099.22</v>
      </c>
    </row>
    <row r="82" spans="1:2" x14ac:dyDescent="0.25">
      <c r="A82" s="29">
        <v>44279.489699074074</v>
      </c>
      <c r="B82" s="28">
        <v>372842.32</v>
      </c>
    </row>
    <row r="83" spans="1:2" x14ac:dyDescent="0.25">
      <c r="A83" s="29">
        <v>44279.489837962959</v>
      </c>
      <c r="B83" s="28">
        <v>372842.32</v>
      </c>
    </row>
    <row r="84" spans="1:2" x14ac:dyDescent="0.25">
      <c r="A84" s="29">
        <v>44279.630868055552</v>
      </c>
      <c r="B84" s="28">
        <v>352579.93</v>
      </c>
    </row>
    <row r="85" spans="1:2" x14ac:dyDescent="0.25">
      <c r="A85" s="29">
        <v>44280.366446759261</v>
      </c>
      <c r="B85" s="28">
        <v>349932.4</v>
      </c>
    </row>
    <row r="86" spans="1:2" x14ac:dyDescent="0.25">
      <c r="A86" s="29">
        <v>44280.624490740738</v>
      </c>
      <c r="B86" s="28">
        <v>356357.75</v>
      </c>
    </row>
    <row r="87" spans="1:2" x14ac:dyDescent="0.25">
      <c r="A87" s="29">
        <v>44280.711261574077</v>
      </c>
      <c r="B87" s="28">
        <v>365205.38</v>
      </c>
    </row>
    <row r="88" spans="1:2" x14ac:dyDescent="0.25">
      <c r="A88" s="29">
        <v>44281.664479166669</v>
      </c>
      <c r="B88" s="28">
        <v>366344.9</v>
      </c>
    </row>
    <row r="89" spans="1:2" x14ac:dyDescent="0.25">
      <c r="A89" s="29">
        <v>44282.428553240738</v>
      </c>
      <c r="B89" s="28">
        <v>357126.3</v>
      </c>
    </row>
    <row r="90" spans="1:2" x14ac:dyDescent="0.25">
      <c r="A90" s="29">
        <v>44282.49927083333</v>
      </c>
      <c r="B90" s="28">
        <v>362582.81</v>
      </c>
    </row>
    <row r="91" spans="1:2" x14ac:dyDescent="0.25">
      <c r="A91" s="29">
        <v>44282.499421296299</v>
      </c>
      <c r="B91" s="28">
        <v>360373.03</v>
      </c>
    </row>
    <row r="92" spans="1:2" x14ac:dyDescent="0.25">
      <c r="A92" s="29">
        <v>44283.408888888887</v>
      </c>
      <c r="B92" s="28">
        <v>364379</v>
      </c>
    </row>
    <row r="93" spans="1:2" x14ac:dyDescent="0.25">
      <c r="A93" s="29">
        <v>44283.65121527778</v>
      </c>
      <c r="B93" s="28">
        <v>366750.77</v>
      </c>
    </row>
    <row r="94" spans="1:2" x14ac:dyDescent="0.25">
      <c r="A94" s="29">
        <v>44283.675833333335</v>
      </c>
      <c r="B94" s="28">
        <v>365552.37</v>
      </c>
    </row>
    <row r="95" spans="1:2" x14ac:dyDescent="0.25">
      <c r="A95" s="29">
        <v>44283.684178240743</v>
      </c>
      <c r="B95" s="28">
        <v>367408.23</v>
      </c>
    </row>
    <row r="96" spans="1:2" x14ac:dyDescent="0.25">
      <c r="A96" s="29">
        <v>44283.694837962961</v>
      </c>
      <c r="B96" s="28">
        <v>369260.36</v>
      </c>
    </row>
    <row r="97" spans="1:2" x14ac:dyDescent="0.25">
      <c r="A97" s="29">
        <v>44283.700046296297</v>
      </c>
      <c r="B97" s="28">
        <v>369535.8</v>
      </c>
    </row>
    <row r="98" spans="1:2" x14ac:dyDescent="0.25">
      <c r="A98" s="29">
        <v>44283.718935185185</v>
      </c>
      <c r="B98" s="28">
        <v>373956.6</v>
      </c>
    </row>
    <row r="99" spans="1:2" x14ac:dyDescent="0.25">
      <c r="A99" s="29">
        <v>44283.748217592591</v>
      </c>
      <c r="B99" s="28">
        <v>373051.39</v>
      </c>
    </row>
    <row r="100" spans="1:2" x14ac:dyDescent="0.25">
      <c r="A100" s="29">
        <v>44283.773611111108</v>
      </c>
      <c r="B100" s="28">
        <v>373118.26</v>
      </c>
    </row>
    <row r="101" spans="1:2" x14ac:dyDescent="0.25">
      <c r="A101" s="29">
        <v>44283.806851851848</v>
      </c>
      <c r="B101" s="28">
        <v>376811.34</v>
      </c>
    </row>
    <row r="102" spans="1:2" x14ac:dyDescent="0.25">
      <c r="A102" s="29">
        <v>44284.355706018519</v>
      </c>
      <c r="B102" s="28">
        <v>388806.1</v>
      </c>
    </row>
    <row r="103" spans="1:2" x14ac:dyDescent="0.25">
      <c r="A103" s="29">
        <v>44284.64471064815</v>
      </c>
      <c r="B103" s="28">
        <v>381345.22</v>
      </c>
    </row>
    <row r="104" spans="1:2" x14ac:dyDescent="0.25">
      <c r="A104" s="29">
        <v>44285.341840277775</v>
      </c>
      <c r="B104" s="28">
        <v>382938.16</v>
      </c>
    </row>
    <row r="105" spans="1:2" x14ac:dyDescent="0.25">
      <c r="A105" s="29">
        <v>44285.728750000002</v>
      </c>
      <c r="B105" s="28">
        <v>383803.47</v>
      </c>
    </row>
    <row r="106" spans="1:2" x14ac:dyDescent="0.25">
      <c r="A106" s="29">
        <v>44286.323067129626</v>
      </c>
      <c r="B106" s="28">
        <v>368929.9</v>
      </c>
    </row>
    <row r="107" spans="1:2" x14ac:dyDescent="0.25">
      <c r="A107" s="29">
        <v>44287.737893518519</v>
      </c>
      <c r="B107" s="28">
        <v>364750.55</v>
      </c>
    </row>
    <row r="108" spans="1:2" x14ac:dyDescent="0.25">
      <c r="A108" s="29">
        <v>44288.374675925923</v>
      </c>
      <c r="B108" s="28">
        <v>371665.65</v>
      </c>
    </row>
    <row r="109" spans="1:2" x14ac:dyDescent="0.25">
      <c r="A109" s="29">
        <v>44288.414375</v>
      </c>
      <c r="B109" s="28">
        <v>373960.05</v>
      </c>
    </row>
    <row r="110" spans="1:2" x14ac:dyDescent="0.25">
      <c r="A110" s="29">
        <v>44288.442812499998</v>
      </c>
      <c r="B110" s="28">
        <v>377962.16</v>
      </c>
    </row>
    <row r="111" spans="1:2" x14ac:dyDescent="0.25">
      <c r="A111" s="29">
        <v>44288.555798611109</v>
      </c>
      <c r="B111" s="28">
        <v>375707.25</v>
      </c>
    </row>
    <row r="112" spans="1:2" x14ac:dyDescent="0.25">
      <c r="A112" s="29">
        <v>44288.902326388888</v>
      </c>
      <c r="B112" s="28">
        <v>376086.87</v>
      </c>
    </row>
    <row r="113" spans="1:2" x14ac:dyDescent="0.25">
      <c r="A113" s="29">
        <v>44289.453564814816</v>
      </c>
      <c r="B113" s="28">
        <v>379475.32</v>
      </c>
    </row>
    <row r="114" spans="1:2" x14ac:dyDescent="0.25">
      <c r="A114" s="29">
        <v>44289.464143518519</v>
      </c>
      <c r="B114" s="28">
        <v>376742.53</v>
      </c>
    </row>
    <row r="115" spans="1:2" x14ac:dyDescent="0.25">
      <c r="A115" s="29">
        <v>44289.990960648145</v>
      </c>
      <c r="B115" s="28">
        <v>366566.67</v>
      </c>
    </row>
    <row r="116" spans="1:2" x14ac:dyDescent="0.25">
      <c r="A116" s="29">
        <v>44290.687916666669</v>
      </c>
      <c r="B116" s="28">
        <v>371359.47</v>
      </c>
    </row>
    <row r="117" spans="1:2" x14ac:dyDescent="0.25">
      <c r="A117" s="29">
        <v>44290.775092592594</v>
      </c>
      <c r="B117" s="28">
        <v>372085.04</v>
      </c>
    </row>
    <row r="118" spans="1:2" x14ac:dyDescent="0.25">
      <c r="A118" s="29">
        <v>44291.776412037034</v>
      </c>
      <c r="B118" s="28">
        <v>372669.11</v>
      </c>
    </row>
    <row r="119" spans="1:2" x14ac:dyDescent="0.25">
      <c r="A119" s="29">
        <v>44292.318564814814</v>
      </c>
      <c r="B119" s="28">
        <v>375597.46</v>
      </c>
    </row>
    <row r="120" spans="1:2" x14ac:dyDescent="0.25">
      <c r="A120" s="29">
        <v>44292.775567129633</v>
      </c>
      <c r="B120" s="28">
        <v>374542.42</v>
      </c>
    </row>
    <row r="121" spans="1:2" x14ac:dyDescent="0.25">
      <c r="A121" s="29">
        <v>44292.811516203707</v>
      </c>
      <c r="B121" s="28">
        <v>380995.35</v>
      </c>
    </row>
    <row r="122" spans="1:2" x14ac:dyDescent="0.25">
      <c r="A122" s="29">
        <v>44293.318483796298</v>
      </c>
      <c r="B122" s="28">
        <v>374109.54</v>
      </c>
    </row>
    <row r="123" spans="1:2" x14ac:dyDescent="0.25">
      <c r="A123" s="29">
        <v>44293.724247685182</v>
      </c>
      <c r="B123" s="28">
        <v>373907.48</v>
      </c>
    </row>
    <row r="124" spans="1:2" x14ac:dyDescent="0.25">
      <c r="A124" s="29">
        <v>44294.359618055554</v>
      </c>
      <c r="B124" s="28">
        <v>384726.02</v>
      </c>
    </row>
    <row r="125" spans="1:2" x14ac:dyDescent="0.25">
      <c r="A125" s="29">
        <v>44294.499594907407</v>
      </c>
      <c r="B125" s="28">
        <v>392234.33</v>
      </c>
    </row>
    <row r="126" spans="1:2" x14ac:dyDescent="0.25">
      <c r="A126" s="29">
        <v>44294.692812499998</v>
      </c>
      <c r="B126" s="28">
        <v>388821.22</v>
      </c>
    </row>
    <row r="127" spans="1:2" x14ac:dyDescent="0.25">
      <c r="A127" s="29">
        <v>44294.71366898148</v>
      </c>
      <c r="B127" s="28">
        <v>389932.91</v>
      </c>
    </row>
    <row r="128" spans="1:2" x14ac:dyDescent="0.25">
      <c r="A128" s="29">
        <v>44294.738113425927</v>
      </c>
      <c r="B128" s="28">
        <v>391300.38</v>
      </c>
    </row>
    <row r="129" spans="1:2" x14ac:dyDescent="0.25">
      <c r="A129" s="29">
        <v>44295.27171296296</v>
      </c>
      <c r="B129" s="28">
        <v>387700.4</v>
      </c>
    </row>
    <row r="130" spans="1:2" x14ac:dyDescent="0.25">
      <c r="A130" s="29">
        <v>44295.322777777779</v>
      </c>
      <c r="B130" s="28">
        <v>384092.09</v>
      </c>
    </row>
    <row r="131" spans="1:2" x14ac:dyDescent="0.25">
      <c r="A131" s="29">
        <v>44295.595648148148</v>
      </c>
      <c r="B131" s="28">
        <v>386957.55</v>
      </c>
    </row>
    <row r="132" spans="1:2" x14ac:dyDescent="0.25">
      <c r="A132" s="29">
        <v>44295.616666666669</v>
      </c>
      <c r="B132" s="28">
        <v>386957.55</v>
      </c>
    </row>
    <row r="133" spans="1:2" x14ac:dyDescent="0.25">
      <c r="A133" s="29">
        <v>44295.630393518521</v>
      </c>
      <c r="B133" s="28">
        <v>391096.29</v>
      </c>
    </row>
    <row r="134" spans="1:2" x14ac:dyDescent="0.25">
      <c r="A134" s="29">
        <v>44296.407754629632</v>
      </c>
      <c r="B134" s="28">
        <v>390914.66</v>
      </c>
    </row>
    <row r="135" spans="1:2" x14ac:dyDescent="0.25">
      <c r="A135" s="29">
        <v>44296.451979166668</v>
      </c>
      <c r="B135" s="28">
        <v>391137.58</v>
      </c>
    </row>
    <row r="136" spans="1:2" x14ac:dyDescent="0.25">
      <c r="A136" s="29">
        <v>44296.653738425928</v>
      </c>
      <c r="B136" s="28">
        <v>383304.87</v>
      </c>
    </row>
    <row r="137" spans="1:2" x14ac:dyDescent="0.25">
      <c r="A137" s="29">
        <v>44296.709062499998</v>
      </c>
      <c r="B137" s="28">
        <v>384044.18</v>
      </c>
    </row>
    <row r="138" spans="1:2" x14ac:dyDescent="0.25">
      <c r="A138" s="29">
        <v>44297.371365740742</v>
      </c>
      <c r="B138" s="28">
        <v>384259.32</v>
      </c>
    </row>
    <row r="139" spans="1:2" x14ac:dyDescent="0.25">
      <c r="A139" s="29">
        <v>44297.567256944443</v>
      </c>
      <c r="B139" s="28">
        <v>391899.75</v>
      </c>
    </row>
    <row r="140" spans="1:2" x14ac:dyDescent="0.25">
      <c r="A140" s="29">
        <v>44297.637812499997</v>
      </c>
      <c r="B140" s="28">
        <v>391580.99</v>
      </c>
    </row>
    <row r="141" spans="1:2" x14ac:dyDescent="0.25">
      <c r="A141" s="29">
        <v>44298.333761574075</v>
      </c>
      <c r="B141" s="28">
        <v>392146.42</v>
      </c>
    </row>
    <row r="142" spans="1:2" x14ac:dyDescent="0.25">
      <c r="A142" s="29">
        <v>44298.336782407408</v>
      </c>
      <c r="B142" s="28">
        <v>392219.42</v>
      </c>
    </row>
    <row r="143" spans="1:2" x14ac:dyDescent="0.25">
      <c r="A143" s="29">
        <v>44298.371493055558</v>
      </c>
      <c r="B143" s="28">
        <v>390902.03</v>
      </c>
    </row>
    <row r="144" spans="1:2" x14ac:dyDescent="0.25">
      <c r="A144" s="29">
        <v>44298.764178240737</v>
      </c>
      <c r="B144" s="28">
        <v>390138.83</v>
      </c>
    </row>
    <row r="145" spans="1:2" x14ac:dyDescent="0.25">
      <c r="A145" s="29">
        <v>44299.301805555559</v>
      </c>
      <c r="B145" s="28">
        <v>393064.37</v>
      </c>
    </row>
    <row r="146" spans="1:2" x14ac:dyDescent="0.25">
      <c r="A146" s="29">
        <v>44299.751064814816</v>
      </c>
      <c r="B146" s="28">
        <v>407980.58</v>
      </c>
    </row>
    <row r="147" spans="1:2" x14ac:dyDescent="0.25">
      <c r="A147" s="29">
        <v>44300.305509259262</v>
      </c>
      <c r="B147" s="28">
        <v>408425.78</v>
      </c>
    </row>
    <row r="148" spans="1:2" x14ac:dyDescent="0.25">
      <c r="A148" s="29">
        <v>44300.752754629626</v>
      </c>
      <c r="B148" s="28">
        <v>404341.28</v>
      </c>
    </row>
    <row r="149" spans="1:2" x14ac:dyDescent="0.25">
      <c r="A149" s="29">
        <v>44301.334652777776</v>
      </c>
      <c r="B149" s="28">
        <v>406614.2</v>
      </c>
    </row>
    <row r="150" spans="1:2" x14ac:dyDescent="0.25">
      <c r="A150" s="29">
        <v>44301.712118055555</v>
      </c>
      <c r="B150" s="28">
        <v>413991.98</v>
      </c>
    </row>
    <row r="151" spans="1:2" x14ac:dyDescent="0.25">
      <c r="A151" s="29">
        <v>44302.31863425926</v>
      </c>
      <c r="B151" s="28">
        <v>435634.1</v>
      </c>
    </row>
    <row r="152" spans="1:2" x14ac:dyDescent="0.25">
      <c r="A152" s="29">
        <v>44302.326689814814</v>
      </c>
      <c r="B152" s="28">
        <v>443375.66</v>
      </c>
    </row>
    <row r="153" spans="1:2" x14ac:dyDescent="0.25">
      <c r="A153" s="29">
        <v>44302.342604166668</v>
      </c>
      <c r="B153" s="28">
        <v>452136.8</v>
      </c>
    </row>
    <row r="154" spans="1:2" x14ac:dyDescent="0.25">
      <c r="A154" s="29">
        <v>44302.617129629631</v>
      </c>
      <c r="B154" s="28">
        <v>435356.74</v>
      </c>
    </row>
    <row r="155" spans="1:2" x14ac:dyDescent="0.25">
      <c r="A155" s="29">
        <v>44302.863379629627</v>
      </c>
      <c r="B155" s="28">
        <v>442166.19</v>
      </c>
    </row>
    <row r="156" spans="1:2" x14ac:dyDescent="0.25">
      <c r="A156" s="29">
        <v>44303.393391203703</v>
      </c>
      <c r="B156" s="28">
        <v>428863.76</v>
      </c>
    </row>
    <row r="157" spans="1:2" x14ac:dyDescent="0.25">
      <c r="A157" s="29">
        <v>44303.411249999997</v>
      </c>
      <c r="B157" s="28">
        <v>426708.98</v>
      </c>
    </row>
    <row r="158" spans="1:2" x14ac:dyDescent="0.25">
      <c r="A158" s="29">
        <v>44304.419687499998</v>
      </c>
      <c r="B158" s="28">
        <v>370602.16</v>
      </c>
    </row>
    <row r="159" spans="1:2" x14ac:dyDescent="0.25">
      <c r="A159" s="29">
        <v>44304.590578703705</v>
      </c>
      <c r="B159" s="28">
        <v>376449.67</v>
      </c>
    </row>
    <row r="160" spans="1:2" x14ac:dyDescent="0.25">
      <c r="A160" s="29">
        <v>44305.42769675926</v>
      </c>
      <c r="B160" s="28">
        <v>358145.27</v>
      </c>
    </row>
    <row r="161" spans="1:2" x14ac:dyDescent="0.25">
      <c r="A161" s="29">
        <v>44306.363356481481</v>
      </c>
      <c r="B161" s="28">
        <v>369769.41</v>
      </c>
    </row>
    <row r="162" spans="1:2" x14ac:dyDescent="0.25">
      <c r="A162" s="29">
        <v>44306.717858796299</v>
      </c>
      <c r="B162" s="28">
        <v>386950.04</v>
      </c>
    </row>
    <row r="163" spans="1:2" x14ac:dyDescent="0.25">
      <c r="A163" s="29">
        <v>44306.720949074072</v>
      </c>
      <c r="B163" s="28">
        <v>388913.48</v>
      </c>
    </row>
    <row r="164" spans="1:2" x14ac:dyDescent="0.25">
      <c r="A164" s="29">
        <v>44307.78334490741</v>
      </c>
      <c r="B164" s="28">
        <v>369301.04</v>
      </c>
    </row>
    <row r="165" spans="1:2" x14ac:dyDescent="0.25">
      <c r="A165" s="29">
        <v>44308.336423611108</v>
      </c>
      <c r="B165" s="28">
        <v>370934.39</v>
      </c>
    </row>
    <row r="166" spans="1:2" x14ac:dyDescent="0.25">
      <c r="A166" s="29">
        <v>44308.782060185185</v>
      </c>
      <c r="B166" s="28">
        <v>341888.51</v>
      </c>
    </row>
    <row r="167" spans="1:2" x14ac:dyDescent="0.25">
      <c r="A167" s="29">
        <v>44310.426493055558</v>
      </c>
      <c r="B167" s="28">
        <v>306212.78999999998</v>
      </c>
    </row>
    <row r="168" spans="1:2" x14ac:dyDescent="0.25">
      <c r="A168" s="29">
        <v>44310.505879629629</v>
      </c>
      <c r="B168" s="28">
        <v>310835.96000000002</v>
      </c>
    </row>
    <row r="169" spans="1:2" x14ac:dyDescent="0.25">
      <c r="A169" s="29">
        <v>44310.546585648146</v>
      </c>
      <c r="B169" s="28">
        <v>313662.15000000002</v>
      </c>
    </row>
    <row r="170" spans="1:2" x14ac:dyDescent="0.25">
      <c r="A170" s="29">
        <v>44310.551608796297</v>
      </c>
      <c r="B170" s="28">
        <v>312799.15000000002</v>
      </c>
    </row>
    <row r="171" spans="1:2" x14ac:dyDescent="0.25">
      <c r="A171" s="29">
        <v>44310.570439814815</v>
      </c>
      <c r="B171" s="28">
        <v>317049.21000000002</v>
      </c>
    </row>
    <row r="172" spans="1:2" x14ac:dyDescent="0.25">
      <c r="A172" s="29">
        <v>44310.57203703704</v>
      </c>
      <c r="B172" s="28">
        <v>316755.87</v>
      </c>
    </row>
    <row r="173" spans="1:2" x14ac:dyDescent="0.25">
      <c r="A173" s="29">
        <v>44310.69190972222</v>
      </c>
      <c r="B173" s="28">
        <v>317850.78999999998</v>
      </c>
    </row>
    <row r="174" spans="1:2" x14ac:dyDescent="0.25">
      <c r="A174" s="29">
        <v>44310.699571759258</v>
      </c>
      <c r="B174" s="28">
        <v>317850.78999999998</v>
      </c>
    </row>
    <row r="175" spans="1:2" x14ac:dyDescent="0.25">
      <c r="A175" s="29">
        <v>44310.700497685182</v>
      </c>
      <c r="B175" s="28">
        <v>317850.78999999998</v>
      </c>
    </row>
    <row r="176" spans="1:2" x14ac:dyDescent="0.25">
      <c r="A176" s="29">
        <v>44311.403379629628</v>
      </c>
      <c r="B176" s="28">
        <v>317850.78999999998</v>
      </c>
    </row>
    <row r="177" spans="1:2" x14ac:dyDescent="0.25">
      <c r="A177" s="29">
        <v>44311.403506944444</v>
      </c>
      <c r="B177" s="28">
        <v>324349.40999999997</v>
      </c>
    </row>
    <row r="178" spans="1:2" x14ac:dyDescent="0.25">
      <c r="A178" s="29">
        <v>44311.731168981481</v>
      </c>
      <c r="B178" s="28">
        <v>307193.42</v>
      </c>
    </row>
    <row r="179" spans="1:2" x14ac:dyDescent="0.25">
      <c r="A179" s="29">
        <v>44312.333761574075</v>
      </c>
      <c r="B179" s="28">
        <v>362047</v>
      </c>
    </row>
    <row r="180" spans="1:2" x14ac:dyDescent="0.25">
      <c r="A180" s="29">
        <v>44312.355069444442</v>
      </c>
      <c r="B180" s="28">
        <v>359652.43</v>
      </c>
    </row>
    <row r="181" spans="1:2" x14ac:dyDescent="0.25">
      <c r="A181" s="29">
        <v>44312.749884259261</v>
      </c>
      <c r="B181" s="28">
        <v>354166.23</v>
      </c>
    </row>
    <row r="182" spans="1:2" x14ac:dyDescent="0.25">
      <c r="A182" s="29">
        <v>44312.749942129631</v>
      </c>
      <c r="B182" s="28">
        <v>354166.23</v>
      </c>
    </row>
    <row r="183" spans="1:2" x14ac:dyDescent="0.25">
      <c r="A183" s="29">
        <v>44313.318726851852</v>
      </c>
      <c r="B183" s="28">
        <v>378727.1</v>
      </c>
    </row>
    <row r="184" spans="1:2" x14ac:dyDescent="0.25">
      <c r="A184" s="29">
        <v>44313.740439814814</v>
      </c>
      <c r="B184" s="28">
        <v>377822.27</v>
      </c>
    </row>
    <row r="185" spans="1:2" x14ac:dyDescent="0.25">
      <c r="A185" s="29">
        <v>44314.324814814812</v>
      </c>
      <c r="B185" s="28">
        <v>375480.34</v>
      </c>
    </row>
    <row r="186" spans="1:2" x14ac:dyDescent="0.25">
      <c r="A186" s="29">
        <v>44314.544328703705</v>
      </c>
      <c r="B186" s="28">
        <v>370900.67</v>
      </c>
    </row>
    <row r="187" spans="1:2" x14ac:dyDescent="0.25">
      <c r="A187" s="29">
        <v>44314.635671296295</v>
      </c>
      <c r="B187" s="28">
        <v>378007.5</v>
      </c>
    </row>
    <row r="188" spans="1:2" x14ac:dyDescent="0.25">
      <c r="A188" s="29">
        <v>44314.658194444448</v>
      </c>
      <c r="B188" s="28">
        <v>369024.18</v>
      </c>
    </row>
    <row r="189" spans="1:2" x14ac:dyDescent="0.25">
      <c r="A189" s="29">
        <v>44315.332002314812</v>
      </c>
      <c r="B189" s="28">
        <v>376729.14</v>
      </c>
    </row>
    <row r="190" spans="1:2" x14ac:dyDescent="0.25">
      <c r="A190" s="29">
        <v>44315.506226851852</v>
      </c>
      <c r="B190" s="28">
        <v>361631.64</v>
      </c>
    </row>
    <row r="191" spans="1:2" x14ac:dyDescent="0.25">
      <c r="A191" s="29">
        <v>44316.400868055556</v>
      </c>
      <c r="B191" s="28">
        <v>383470.98</v>
      </c>
    </row>
    <row r="192" spans="1:2" x14ac:dyDescent="0.25">
      <c r="A192" s="29">
        <v>44316.409375000003</v>
      </c>
      <c r="B192" s="28">
        <v>383470.98</v>
      </c>
    </row>
    <row r="193" spans="1:2" x14ac:dyDescent="0.25">
      <c r="A193" s="29">
        <v>44316.415219907409</v>
      </c>
      <c r="B193" s="28">
        <v>388323.14</v>
      </c>
    </row>
    <row r="194" spans="1:2" x14ac:dyDescent="0.25">
      <c r="A194" s="29">
        <v>44316.432129629633</v>
      </c>
      <c r="B194" s="28">
        <v>384212.89</v>
      </c>
    </row>
    <row r="195" spans="1:2" x14ac:dyDescent="0.25">
      <c r="A195" s="29">
        <v>44316.48159722222</v>
      </c>
      <c r="B195" s="28">
        <v>384183.59</v>
      </c>
    </row>
    <row r="196" spans="1:2" x14ac:dyDescent="0.25">
      <c r="A196" s="29">
        <v>44316.627430555556</v>
      </c>
      <c r="B196" s="28">
        <v>382244.07</v>
      </c>
    </row>
    <row r="197" spans="1:2" x14ac:dyDescent="0.25">
      <c r="A197" s="29">
        <v>44317.38140046296</v>
      </c>
      <c r="B197" s="28">
        <v>389099.63</v>
      </c>
    </row>
    <row r="198" spans="1:2" x14ac:dyDescent="0.25">
      <c r="A198" s="29">
        <v>44317.425162037034</v>
      </c>
      <c r="B198" s="28">
        <v>386371.99</v>
      </c>
    </row>
    <row r="199" spans="1:2" x14ac:dyDescent="0.25">
      <c r="A199" s="29">
        <v>44317.426041666666</v>
      </c>
      <c r="B199" s="28">
        <v>386338.98</v>
      </c>
    </row>
    <row r="200" spans="1:2" x14ac:dyDescent="0.25">
      <c r="A200" s="29">
        <v>44317.483391203707</v>
      </c>
      <c r="B200" s="28">
        <v>389930.73</v>
      </c>
    </row>
    <row r="201" spans="1:2" x14ac:dyDescent="0.25">
      <c r="A201" s="29">
        <v>44317.862962962965</v>
      </c>
      <c r="B201" s="28">
        <v>391910.36</v>
      </c>
    </row>
    <row r="202" spans="1:2" x14ac:dyDescent="0.25">
      <c r="A202" s="29">
        <v>44318.496817129628</v>
      </c>
      <c r="B202" s="28">
        <v>385454.45</v>
      </c>
    </row>
    <row r="203" spans="1:2" x14ac:dyDescent="0.25">
      <c r="A203" s="29">
        <v>44318.775046296294</v>
      </c>
      <c r="B203" s="28">
        <v>383835.28</v>
      </c>
    </row>
    <row r="204" spans="1:2" x14ac:dyDescent="0.25">
      <c r="A204" s="29">
        <v>44319.308692129627</v>
      </c>
      <c r="B204" s="28">
        <v>402640.68</v>
      </c>
    </row>
    <row r="205" spans="1:2" x14ac:dyDescent="0.25">
      <c r="A205" s="29">
        <v>44319.49417824074</v>
      </c>
      <c r="B205" s="28">
        <v>405361.2</v>
      </c>
    </row>
    <row r="206" spans="1:2" x14ac:dyDescent="0.25">
      <c r="A206" s="29">
        <v>44319.502222222225</v>
      </c>
      <c r="B206" s="28">
        <v>405296.97</v>
      </c>
    </row>
    <row r="207" spans="1:2" x14ac:dyDescent="0.25">
      <c r="A207" s="29">
        <v>44319.706828703704</v>
      </c>
      <c r="B207" s="28">
        <v>397635.09</v>
      </c>
    </row>
    <row r="208" spans="1:2" x14ac:dyDescent="0.25">
      <c r="A208" s="29">
        <v>44320.337997685187</v>
      </c>
      <c r="B208" s="28">
        <v>383595.76</v>
      </c>
    </row>
    <row r="209" spans="1:2" x14ac:dyDescent="0.25">
      <c r="A209" s="29">
        <v>44320.696203703701</v>
      </c>
      <c r="B209" s="28">
        <v>375748.2</v>
      </c>
    </row>
    <row r="210" spans="1:2" x14ac:dyDescent="0.25">
      <c r="A210" s="29">
        <v>44321.324826388889</v>
      </c>
      <c r="B210" s="28">
        <v>386415.42</v>
      </c>
    </row>
    <row r="211" spans="1:2" x14ac:dyDescent="0.25">
      <c r="A211" s="29">
        <v>44321.331712962965</v>
      </c>
      <c r="B211" s="28">
        <v>387491.28</v>
      </c>
    </row>
    <row r="212" spans="1:2" x14ac:dyDescent="0.25">
      <c r="A212" s="29">
        <v>44321.701979166668</v>
      </c>
      <c r="B212" s="28">
        <v>390765.3</v>
      </c>
    </row>
    <row r="213" spans="1:2" x14ac:dyDescent="0.25">
      <c r="A213" s="29">
        <v>44321.763483796298</v>
      </c>
      <c r="B213" s="28">
        <v>393783.25</v>
      </c>
    </row>
    <row r="214" spans="1:2" x14ac:dyDescent="0.25">
      <c r="A214" s="29">
        <v>44322.308923611112</v>
      </c>
      <c r="B214" s="28">
        <v>402702.32</v>
      </c>
    </row>
    <row r="215" spans="1:2" x14ac:dyDescent="0.25">
      <c r="A215" s="29">
        <v>44322.403437499997</v>
      </c>
      <c r="B215" s="28">
        <v>401231.1</v>
      </c>
    </row>
    <row r="216" spans="1:2" x14ac:dyDescent="0.25">
      <c r="A216" s="29">
        <v>44322.422465277778</v>
      </c>
      <c r="B216" s="28">
        <v>402403.54</v>
      </c>
    </row>
    <row r="217" spans="1:2" x14ac:dyDescent="0.25">
      <c r="A217" s="29">
        <v>44322.61414351852</v>
      </c>
      <c r="B217" s="28">
        <v>390322.87</v>
      </c>
    </row>
    <row r="218" spans="1:2" x14ac:dyDescent="0.25">
      <c r="A218" s="29">
        <v>44323.312094907407</v>
      </c>
      <c r="B218" s="28">
        <v>420601.18</v>
      </c>
    </row>
    <row r="219" spans="1:2" x14ac:dyDescent="0.25">
      <c r="A219" s="29">
        <v>44323.334479166668</v>
      </c>
      <c r="B219" s="28">
        <v>429695.12</v>
      </c>
    </row>
    <row r="220" spans="1:2" x14ac:dyDescent="0.25">
      <c r="A220" s="29">
        <v>44323.623796296299</v>
      </c>
      <c r="B220" s="28">
        <v>415860.19</v>
      </c>
    </row>
    <row r="221" spans="1:2" x14ac:dyDescent="0.25">
      <c r="A221" s="29">
        <v>44324.339178240742</v>
      </c>
      <c r="B221" s="28">
        <v>427517.65</v>
      </c>
    </row>
    <row r="222" spans="1:2" x14ac:dyDescent="0.25">
      <c r="A222" s="29">
        <v>44324.568506944444</v>
      </c>
      <c r="B222" s="28">
        <v>427126.49</v>
      </c>
    </row>
    <row r="223" spans="1:2" x14ac:dyDescent="0.25">
      <c r="A223" s="29">
        <v>44324.608171296299</v>
      </c>
      <c r="B223" s="28">
        <v>427201.74</v>
      </c>
    </row>
    <row r="224" spans="1:2" x14ac:dyDescent="0.25">
      <c r="A224" s="29">
        <v>44325.321562500001</v>
      </c>
      <c r="B224" s="28">
        <v>410601.97</v>
      </c>
    </row>
    <row r="225" spans="1:2" x14ac:dyDescent="0.25">
      <c r="A225" s="29">
        <v>44325.321631944447</v>
      </c>
      <c r="B225" s="28">
        <v>410601.97</v>
      </c>
    </row>
    <row r="226" spans="1:2" x14ac:dyDescent="0.25">
      <c r="A226" s="29">
        <v>44325.338587962964</v>
      </c>
      <c r="B226" s="28">
        <v>408141.08</v>
      </c>
    </row>
    <row r="227" spans="1:2" x14ac:dyDescent="0.25">
      <c r="A227" s="29">
        <v>44326.313043981485</v>
      </c>
      <c r="B227" s="28">
        <v>416412.74</v>
      </c>
    </row>
    <row r="228" spans="1:2" x14ac:dyDescent="0.25">
      <c r="A228" s="29">
        <v>44326.353993055556</v>
      </c>
      <c r="B228" s="28">
        <v>413824.04</v>
      </c>
    </row>
    <row r="229" spans="1:2" x14ac:dyDescent="0.25">
      <c r="A229" s="29">
        <v>44326.405763888892</v>
      </c>
      <c r="B229" s="28">
        <v>409146.08</v>
      </c>
    </row>
    <row r="230" spans="1:2" x14ac:dyDescent="0.25">
      <c r="A230" s="29">
        <v>44326.508784722224</v>
      </c>
      <c r="B230" s="28">
        <v>412721.76</v>
      </c>
    </row>
    <row r="231" spans="1:2" x14ac:dyDescent="0.25">
      <c r="A231" s="29">
        <v>44326.634305555555</v>
      </c>
      <c r="B231" s="28">
        <v>377807.24</v>
      </c>
    </row>
    <row r="232" spans="1:2" x14ac:dyDescent="0.25">
      <c r="A232" s="29">
        <v>44326.64261574074</v>
      </c>
      <c r="B232" s="28">
        <v>380056.82</v>
      </c>
    </row>
    <row r="233" spans="1:2" x14ac:dyDescent="0.25">
      <c r="A233" s="29">
        <v>44326.702604166669</v>
      </c>
      <c r="B233" s="28">
        <v>394820.37</v>
      </c>
    </row>
    <row r="234" spans="1:2" x14ac:dyDescent="0.25">
      <c r="A234" s="29">
        <v>44326.734907407408</v>
      </c>
      <c r="B234" s="28">
        <v>390872.96</v>
      </c>
    </row>
    <row r="235" spans="1:2" x14ac:dyDescent="0.25">
      <c r="A235" s="29">
        <v>44327.307974537034</v>
      </c>
      <c r="B235" s="28">
        <v>389786.37</v>
      </c>
    </row>
    <row r="236" spans="1:2" x14ac:dyDescent="0.25">
      <c r="A236" s="29">
        <v>44327.816805555558</v>
      </c>
      <c r="B236" s="28">
        <v>404116.22</v>
      </c>
    </row>
    <row r="237" spans="1:2" x14ac:dyDescent="0.25">
      <c r="A237" s="29">
        <v>44328.330949074072</v>
      </c>
      <c r="B237" s="28">
        <v>404116.22</v>
      </c>
    </row>
    <row r="238" spans="1:2" x14ac:dyDescent="0.25">
      <c r="A238" s="29">
        <v>44328.331342592595</v>
      </c>
      <c r="B238" s="28">
        <v>399206.59</v>
      </c>
    </row>
    <row r="239" spans="1:2" x14ac:dyDescent="0.25">
      <c r="A239" s="29">
        <v>44328.374236111114</v>
      </c>
      <c r="B239" s="28">
        <v>400568.31</v>
      </c>
    </row>
    <row r="240" spans="1:2" x14ac:dyDescent="0.25">
      <c r="A240" s="29">
        <v>44328.674849537034</v>
      </c>
      <c r="B240" s="28">
        <v>389153.39</v>
      </c>
    </row>
    <row r="241" spans="1:2" x14ac:dyDescent="0.25">
      <c r="A241" s="29">
        <v>44328.835243055553</v>
      </c>
      <c r="B241" s="28">
        <v>360376.28</v>
      </c>
    </row>
    <row r="242" spans="1:2" x14ac:dyDescent="0.25">
      <c r="A242" s="29">
        <v>44328.835347222222</v>
      </c>
      <c r="B242" s="28">
        <v>360376.28</v>
      </c>
    </row>
    <row r="243" spans="1:2" x14ac:dyDescent="0.25">
      <c r="A243" s="29">
        <v>44328.869814814818</v>
      </c>
      <c r="B243" s="28">
        <v>364816.23</v>
      </c>
    </row>
    <row r="244" spans="1:2" x14ac:dyDescent="0.25">
      <c r="A244" s="29">
        <v>44329.328043981484</v>
      </c>
      <c r="B244" s="28">
        <v>365507.4</v>
      </c>
    </row>
    <row r="245" spans="1:2" x14ac:dyDescent="0.25">
      <c r="A245" s="29">
        <v>44329.616261574076</v>
      </c>
      <c r="B245" s="28">
        <v>359478.43</v>
      </c>
    </row>
    <row r="246" spans="1:2" x14ac:dyDescent="0.25">
      <c r="A246" s="29">
        <v>44329.680196759262</v>
      </c>
      <c r="B246" s="28">
        <v>365484.77</v>
      </c>
    </row>
    <row r="247" spans="1:2" x14ac:dyDescent="0.25">
      <c r="A247" s="29">
        <v>44330.307442129626</v>
      </c>
      <c r="B247" s="28">
        <v>380302.55</v>
      </c>
    </row>
    <row r="248" spans="1:2" x14ac:dyDescent="0.25">
      <c r="A248" s="29">
        <v>44330.331018518518</v>
      </c>
      <c r="B248" s="28">
        <v>380359.04</v>
      </c>
    </row>
    <row r="249" spans="1:2" x14ac:dyDescent="0.25">
      <c r="A249" s="29">
        <v>44330.377280092594</v>
      </c>
      <c r="B249" s="28">
        <v>386588.69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D95E8-2AC4-4A7D-BDF6-7DFC4D0F6C17}">
  <sheetPr codeName="Sheet8"/>
  <dimension ref="B1:J13"/>
  <sheetViews>
    <sheetView workbookViewId="0">
      <selection activeCell="K14" sqref="K14"/>
    </sheetView>
  </sheetViews>
  <sheetFormatPr defaultRowHeight="15" x14ac:dyDescent="0.25"/>
  <cols>
    <col min="1" max="1" width="10" customWidth="1"/>
    <col min="2" max="2" width="10.7109375" style="4" customWidth="1"/>
    <col min="3" max="3" width="10.7109375" style="16" customWidth="1"/>
    <col min="4" max="4" width="13.85546875" style="14" customWidth="1"/>
    <col min="5" max="5" width="12.42578125" style="4" customWidth="1"/>
    <col min="6" max="6" width="13.140625" style="12" customWidth="1"/>
    <col min="7" max="7" width="12.5703125" style="13" customWidth="1"/>
    <col min="9" max="9" width="23.28515625" customWidth="1"/>
    <col min="10" max="10" width="14" customWidth="1"/>
  </cols>
  <sheetData>
    <row r="1" spans="2:10" x14ac:dyDescent="0.25">
      <c r="B1" s="32" t="s">
        <v>11</v>
      </c>
      <c r="C1" s="33" t="s">
        <v>22</v>
      </c>
      <c r="D1" s="34" t="s">
        <v>23</v>
      </c>
      <c r="E1" s="32" t="s">
        <v>6</v>
      </c>
      <c r="F1" s="35" t="s">
        <v>12</v>
      </c>
      <c r="G1" s="36" t="s">
        <v>13</v>
      </c>
      <c r="I1" s="7" t="s">
        <v>21</v>
      </c>
      <c r="J1" s="8">
        <f xml:space="preserve"> SUM(E:E)</f>
        <v>1292.9295</v>
      </c>
    </row>
    <row r="2" spans="2:10" x14ac:dyDescent="0.25">
      <c r="B2" s="5">
        <v>44045</v>
      </c>
      <c r="C2" s="15" t="s">
        <v>24</v>
      </c>
      <c r="D2" s="14">
        <v>1</v>
      </c>
      <c r="E2" s="4">
        <v>1292.9295</v>
      </c>
      <c r="F2" s="12">
        <v>0.278831</v>
      </c>
      <c r="G2" s="13">
        <f xml:space="preserve"> E2 *F2</f>
        <v>360.5088254145</v>
      </c>
      <c r="I2" s="7" t="s">
        <v>15</v>
      </c>
      <c r="J2" s="9">
        <f xml:space="preserve"> SUM(G:G)</f>
        <v>360.5088254145</v>
      </c>
    </row>
    <row r="3" spans="2:10" x14ac:dyDescent="0.25">
      <c r="B3" s="5"/>
      <c r="C3" s="15"/>
      <c r="I3" s="7" t="s">
        <v>18</v>
      </c>
      <c r="J3" s="10">
        <f xml:space="preserve"> AVERAGE(F:F)</f>
        <v>0.278831</v>
      </c>
    </row>
    <row r="4" spans="2:10" x14ac:dyDescent="0.25">
      <c r="B4" s="5"/>
      <c r="C4" s="15"/>
      <c r="I4" s="7" t="s">
        <v>14</v>
      </c>
      <c r="J4" s="9">
        <v>10.29</v>
      </c>
    </row>
    <row r="5" spans="2:10" x14ac:dyDescent="0.25">
      <c r="B5" s="5"/>
      <c r="C5" s="15"/>
      <c r="I5" s="7" t="s">
        <v>16</v>
      </c>
      <c r="J5" s="9">
        <f xml:space="preserve"> J1* CurrentTokenPrice</f>
        <v>13304.244554999999</v>
      </c>
    </row>
    <row r="6" spans="2:10" x14ac:dyDescent="0.25">
      <c r="B6" s="5"/>
      <c r="C6" s="15"/>
      <c r="I6" s="7" t="s">
        <v>19</v>
      </c>
      <c r="J6" s="9">
        <f xml:space="preserve"> J5 - J2</f>
        <v>12943.7357295855</v>
      </c>
    </row>
    <row r="7" spans="2:10" x14ac:dyDescent="0.25">
      <c r="B7" s="5"/>
      <c r="C7" s="15"/>
      <c r="I7" s="7" t="s">
        <v>20</v>
      </c>
      <c r="J7" s="10">
        <f xml:space="preserve"> CurrentTokenPrice - J3</f>
        <v>10.011168999999999</v>
      </c>
    </row>
    <row r="8" spans="2:10" x14ac:dyDescent="0.25">
      <c r="B8" s="5"/>
      <c r="C8" s="15"/>
      <c r="I8" s="7" t="s">
        <v>17</v>
      </c>
      <c r="J8" s="11">
        <f xml:space="preserve"> J6 / J2</f>
        <v>35.904074511083778</v>
      </c>
    </row>
    <row r="9" spans="2:10" x14ac:dyDescent="0.25">
      <c r="B9" s="5"/>
      <c r="C9" s="15"/>
    </row>
    <row r="10" spans="2:10" x14ac:dyDescent="0.25">
      <c r="B10" s="5"/>
      <c r="C10" s="15"/>
    </row>
    <row r="11" spans="2:10" x14ac:dyDescent="0.25">
      <c r="B11" s="5"/>
      <c r="E11" s="6"/>
      <c r="G11" s="14"/>
    </row>
    <row r="12" spans="2:10" x14ac:dyDescent="0.25">
      <c r="B12" s="5"/>
      <c r="E12" s="6"/>
    </row>
    <row r="13" spans="2:10" x14ac:dyDescent="0.25">
      <c r="B13" s="5"/>
      <c r="E13" s="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setCurrentWorkbookPrice">
                <anchor moveWithCells="1" sizeWithCells="1">
                  <from>
                    <xdr:col>10</xdr:col>
                    <xdr:colOff>114300</xdr:colOff>
                    <xdr:row>2</xdr:row>
                    <xdr:rowOff>180975</xdr:rowOff>
                  </from>
                  <to>
                    <xdr:col>12</xdr:col>
                    <xdr:colOff>104775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Data</vt:lpstr>
      <vt:lpstr>Coins</vt:lpstr>
      <vt:lpstr>My Coins</vt:lpstr>
      <vt:lpstr>CoinHistory</vt:lpstr>
      <vt:lpstr>theta-token</vt:lpstr>
      <vt:lpstr>baseURL</vt:lpstr>
      <vt:lpstr>CurrentDate</vt:lpstr>
      <vt:lpstr>CurrentTokenPrice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Justan</dc:creator>
  <cp:lastModifiedBy>Justan</cp:lastModifiedBy>
  <dcterms:created xsi:type="dcterms:W3CDTF">2020-05-08T22:50:20Z</dcterms:created>
  <dcterms:modified xsi:type="dcterms:W3CDTF">2021-05-14T18:58:46Z</dcterms:modified>
</cp:coreProperties>
</file>